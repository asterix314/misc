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项目工作文件夹\2024五矿集团\实施文档\03主数据标准\集团主数据标准excel（1216)\"/>
    </mc:Choice>
  </mc:AlternateContent>
  <xr:revisionPtr revIDLastSave="0" documentId="13_ncr:1_{2B3847A7-9736-4341-B83D-5F9A75A7E8BB}" xr6:coauthVersionLast="47" xr6:coauthVersionMax="47" xr10:uidLastSave="{00000000-0000-0000-0000-000000000000}"/>
  <bookViews>
    <workbookView xWindow="-108" yWindow="-108" windowWidth="23256" windowHeight="12456" tabRatio="783" firstSheet="1" activeTab="1" xr2:uid="{00000000-000D-0000-FFFF-FFFF00000000}"/>
  </bookViews>
  <sheets>
    <sheet name="目录" sheetId="96" state="hidden" r:id="rId1"/>
    <sheet name="员工" sheetId="10" r:id="rId2"/>
    <sheet name="员工性别" sheetId="73" r:id="rId3"/>
    <sheet name="雇佣状态" sheetId="106" r:id="rId4"/>
    <sheet name="Sheet2" sheetId="105" state="hidden" r:id="rId5"/>
    <sheet name="员工组和员工子组" sheetId="102" state="hidden" r:id="rId6"/>
    <sheet name="Sheet1" sheetId="4" state="hidden" r:id="rId7"/>
  </sheets>
  <externalReferences>
    <externalReference r:id="rId8"/>
  </externalReferences>
  <definedNames>
    <definedName name="_xlnm._FilterDatabase" localSheetId="1" hidden="1">员工!$A$2:$I$13</definedName>
    <definedName name="目录">INDEX(GET.WORKBOOK(1),ROW(目录!XFD1))&amp;T(NOW())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96" l="1"/>
  <c r="B26" i="96"/>
  <c r="B40" i="96"/>
  <c r="B2" i="96"/>
  <c r="B17" i="96"/>
  <c r="B14" i="96"/>
  <c r="B28" i="96"/>
  <c r="B4" i="96"/>
  <c r="B36" i="96"/>
  <c r="B12" i="96"/>
  <c r="B13" i="96"/>
  <c r="B24" i="96"/>
  <c r="B20" i="96"/>
  <c r="B37" i="96"/>
  <c r="B34" i="96"/>
  <c r="B35" i="96"/>
  <c r="B21" i="96"/>
  <c r="B22" i="96"/>
  <c r="B38" i="96"/>
  <c r="B31" i="96"/>
  <c r="B7" i="96"/>
  <c r="B25" i="96"/>
  <c r="B6" i="96"/>
  <c r="B29" i="96"/>
  <c r="B32" i="96"/>
  <c r="B39" i="96"/>
  <c r="B10" i="96"/>
  <c r="B9" i="96"/>
  <c r="B5" i="96"/>
  <c r="B8" i="96"/>
  <c r="B11" i="96"/>
  <c r="B16" i="96"/>
  <c r="B33" i="96"/>
  <c r="B41" i="96"/>
  <c r="B23" i="96"/>
  <c r="B15" i="96"/>
  <c r="B3" i="96"/>
  <c r="B18" i="96"/>
  <c r="B27" i="96"/>
  <c r="B19" i="96"/>
</calcChain>
</file>

<file path=xl/sharedStrings.xml><?xml version="1.0" encoding="utf-8"?>
<sst xmlns="http://schemas.openxmlformats.org/spreadsheetml/2006/main" count="406" uniqueCount="225">
  <si>
    <t>目录</t>
  </si>
  <si>
    <t>业务特征</t>
  </si>
  <si>
    <t>技术特征</t>
  </si>
  <si>
    <t>序号</t>
  </si>
  <si>
    <t>字段中文名称</t>
  </si>
  <si>
    <t>字段英文名称</t>
  </si>
  <si>
    <t xml:space="preserve">业务定义 </t>
  </si>
  <si>
    <t>数据项目代码</t>
  </si>
  <si>
    <t>数据类别</t>
  </si>
  <si>
    <t>长度</t>
  </si>
  <si>
    <t>是否有参考数据</t>
  </si>
  <si>
    <t>是否必填</t>
  </si>
  <si>
    <t>员工代码</t>
  </si>
  <si>
    <t>Employee Code</t>
  </si>
  <si>
    <t>集团内正式员工唯一ID</t>
  </si>
  <si>
    <t>Emp_Cd</t>
  </si>
  <si>
    <t>字符串：varchar</t>
  </si>
  <si>
    <t>N</t>
  </si>
  <si>
    <t>Y</t>
  </si>
  <si>
    <t>员工姓名</t>
  </si>
  <si>
    <t>Emp_Nm</t>
  </si>
  <si>
    <t>员工性别</t>
  </si>
  <si>
    <t>Sex</t>
  </si>
  <si>
    <t>出生日期</t>
  </si>
  <si>
    <t>Date of Birth</t>
  </si>
  <si>
    <t>Birth_Dt</t>
  </si>
  <si>
    <t>员工所属组织</t>
  </si>
  <si>
    <t>Belong to Organization</t>
  </si>
  <si>
    <t>集团内正式员工所属的部门</t>
  </si>
  <si>
    <t>Emp_Blng_Org</t>
  </si>
  <si>
    <t>职位</t>
  </si>
  <si>
    <t>Position</t>
  </si>
  <si>
    <t>集团内正式员工离职、退休的职位为空</t>
  </si>
  <si>
    <t>手机号码</t>
  </si>
  <si>
    <t>Mobile Number</t>
  </si>
  <si>
    <t>Mobl_No</t>
  </si>
  <si>
    <t>身份证号</t>
  </si>
  <si>
    <t>Identification Numbers</t>
  </si>
  <si>
    <t>Identi_No</t>
  </si>
  <si>
    <t>职位排序码</t>
  </si>
  <si>
    <t>Position Sorting Code</t>
  </si>
  <si>
    <t>Posi_Sort_Cd</t>
  </si>
  <si>
    <t>4A账号</t>
  </si>
  <si>
    <t>4A ID</t>
  </si>
  <si>
    <t>4A_ID</t>
  </si>
  <si>
    <t>雇佣状态</t>
  </si>
  <si>
    <t>Employment Status</t>
  </si>
  <si>
    <t>Emp_Stus</t>
  </si>
  <si>
    <t>返回目录</t>
  </si>
  <si>
    <t>《GB/T 2261.1-2003个人基本信息分类与代码 第1部分：人的性别代码》</t>
  </si>
  <si>
    <t>代码</t>
  </si>
  <si>
    <t>描述</t>
  </si>
  <si>
    <t>未知的性别</t>
  </si>
  <si>
    <t>男</t>
  </si>
  <si>
    <t>女</t>
  </si>
  <si>
    <t>未说明的性别</t>
  </si>
  <si>
    <t>离职</t>
  </si>
  <si>
    <t>不活动</t>
  </si>
  <si>
    <t>退休</t>
  </si>
  <si>
    <t>激活</t>
  </si>
  <si>
    <t>确认结果</t>
  </si>
  <si>
    <t>同意</t>
  </si>
  <si>
    <t>采纳国标</t>
  </si>
  <si>
    <t>不同意</t>
  </si>
  <si>
    <t>不采纳国标</t>
  </si>
  <si>
    <t>不保留</t>
  </si>
  <si>
    <t>保留</t>
  </si>
  <si>
    <t>人力资源系统，员工组</t>
  </si>
  <si>
    <t>人力资源系统，员工子组</t>
  </si>
  <si>
    <t>编码</t>
  </si>
  <si>
    <t>名称</t>
  </si>
  <si>
    <t>员工组编码</t>
  </si>
  <si>
    <t>3</t>
  </si>
  <si>
    <t>关键岗位（集团直接管理）</t>
  </si>
  <si>
    <t>30</t>
  </si>
  <si>
    <t>本岗位工作</t>
  </si>
  <si>
    <t>7</t>
  </si>
  <si>
    <t>关键岗位（任前备案管理）</t>
  </si>
  <si>
    <t>31</t>
  </si>
  <si>
    <t>外派</t>
  </si>
  <si>
    <t>C</t>
  </si>
  <si>
    <t>关键岗位（任后备案管理）</t>
  </si>
  <si>
    <t>32</t>
  </si>
  <si>
    <t>借调</t>
  </si>
  <si>
    <t>G</t>
  </si>
  <si>
    <t>在职正式</t>
  </si>
  <si>
    <t>33</t>
  </si>
  <si>
    <t>交流轮岗</t>
  </si>
  <si>
    <t>K</t>
  </si>
  <si>
    <t>其他用工方式</t>
  </si>
  <si>
    <t>34</t>
  </si>
  <si>
    <t>挂职锻炼</t>
  </si>
  <si>
    <t>O</t>
  </si>
  <si>
    <t>离休</t>
  </si>
  <si>
    <t>35</t>
  </si>
  <si>
    <t>驻外随任</t>
  </si>
  <si>
    <t>R</t>
  </si>
  <si>
    <t>36</t>
  </si>
  <si>
    <t>暂挂人员</t>
  </si>
  <si>
    <t>U</t>
  </si>
  <si>
    <t>外单位派驻五矿人员</t>
  </si>
  <si>
    <t>37</t>
  </si>
  <si>
    <t>脱产学习</t>
  </si>
  <si>
    <t>X</t>
  </si>
  <si>
    <t>38</t>
  </si>
  <si>
    <t>待岗</t>
  </si>
  <si>
    <t>Z</t>
  </si>
  <si>
    <t>死亡</t>
  </si>
  <si>
    <t>39</t>
  </si>
  <si>
    <t>长期病假</t>
  </si>
  <si>
    <t>3A</t>
  </si>
  <si>
    <t>长期休假</t>
  </si>
  <si>
    <t>3B</t>
  </si>
  <si>
    <t>工伤长休</t>
  </si>
  <si>
    <t>3C</t>
  </si>
  <si>
    <t>参军</t>
  </si>
  <si>
    <t>3D</t>
  </si>
  <si>
    <t>停薪留职</t>
  </si>
  <si>
    <t>3E</t>
  </si>
  <si>
    <t>离岗退养（内退）</t>
  </si>
  <si>
    <t>3Z</t>
  </si>
  <si>
    <t>其他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</si>
  <si>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</si>
  <si>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</si>
  <si>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</si>
  <si>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</si>
  <si>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</si>
  <si>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</si>
  <si>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</si>
  <si>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</si>
  <si>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</si>
  <si>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</si>
  <si>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</si>
  <si>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</si>
  <si>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</si>
  <si>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</si>
  <si>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</si>
  <si>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7Z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</si>
  <si>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</si>
  <si>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</si>
  <si>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</si>
  <si>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</si>
  <si>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</si>
  <si>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</si>
  <si>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</si>
  <si>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</si>
  <si>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</si>
  <si>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</si>
  <si>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</si>
  <si>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</si>
  <si>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</si>
  <si>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</si>
  <si>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</si>
  <si>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CZ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</si>
  <si>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</si>
  <si>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</si>
  <si>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</si>
  <si>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</si>
  <si>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</si>
  <si>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</si>
  <si>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</si>
  <si>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</si>
  <si>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</si>
  <si>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</si>
  <si>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GA</t>
  </si>
  <si>
    <t>GB</t>
  </si>
  <si>
    <t>GC</t>
  </si>
  <si>
    <t>GD</t>
  </si>
  <si>
    <t>GE</t>
  </si>
  <si>
    <t>GZ</t>
  </si>
  <si>
    <t>K0</t>
  </si>
  <si>
    <t>劳务派遣</t>
  </si>
  <si>
    <t>K1</t>
  </si>
  <si>
    <t>协议用工</t>
  </si>
  <si>
    <t>K2</t>
  </si>
  <si>
    <t>大集体企业用工</t>
  </si>
  <si>
    <t>KZ</t>
  </si>
  <si>
    <t>O0</t>
  </si>
  <si>
    <t>R0</t>
  </si>
  <si>
    <t>退休内保</t>
  </si>
  <si>
    <t>R1</t>
  </si>
  <si>
    <t>退休外保</t>
  </si>
  <si>
    <t>U0</t>
  </si>
  <si>
    <t>UZ</t>
  </si>
  <si>
    <t>X0</t>
  </si>
  <si>
    <t>辞职</t>
  </si>
  <si>
    <t>X1</t>
  </si>
  <si>
    <t>辞退</t>
  </si>
  <si>
    <t>X2</t>
  </si>
  <si>
    <t>调离</t>
  </si>
  <si>
    <t>X3</t>
  </si>
  <si>
    <t>合同终止</t>
  </si>
  <si>
    <t>X4</t>
  </si>
  <si>
    <t>除名</t>
  </si>
  <si>
    <t>XZ</t>
  </si>
  <si>
    <t>Z0</t>
  </si>
  <si>
    <t>工亡</t>
  </si>
  <si>
    <t>Z1</t>
  </si>
  <si>
    <t>自然死亡</t>
  </si>
  <si>
    <t>ZZ</t>
  </si>
  <si>
    <t>数据格式</t>
  </si>
  <si>
    <t>是否必输</t>
  </si>
  <si>
    <t>全局属性</t>
  </si>
  <si>
    <t>运营属性</t>
  </si>
  <si>
    <t>数据类型</t>
  </si>
  <si>
    <t>ID标识类</t>
  </si>
  <si>
    <t>是</t>
  </si>
  <si>
    <t>局部属性</t>
  </si>
  <si>
    <t>分析属性</t>
  </si>
  <si>
    <t>字符（char）</t>
  </si>
  <si>
    <t>描述类</t>
  </si>
  <si>
    <t>否</t>
  </si>
  <si>
    <t>维度类</t>
  </si>
  <si>
    <t>长整型（long）</t>
  </si>
  <si>
    <t>时戳（timestamp）</t>
  </si>
  <si>
    <t>日期（date）</t>
  </si>
  <si>
    <t>时间（time）</t>
  </si>
  <si>
    <t>整型（int）</t>
  </si>
  <si>
    <t>文本（text）</t>
  </si>
  <si>
    <t>非整型（decimal(p，s)）</t>
  </si>
  <si>
    <t>布尔（boolean）</t>
  </si>
  <si>
    <t>维度表（subtables）</t>
  </si>
  <si>
    <t>不纳入主数据标准</t>
    <phoneticPr fontId="19" type="noConversion"/>
  </si>
  <si>
    <t>Employee Name</t>
    <phoneticPr fontId="19" type="noConversion"/>
  </si>
  <si>
    <t>Employee Sex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</si>
</sst>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 x14ac:knownFonts="1">
    <font>
      <sz val="11"/>
      <color theme="1"/>
      <name val="Arial"/>
      <charset val="134"/>
      <scheme val="minor"/>
    </font>
    <font>
      <sz val="10"/>
      <name val="Arial"/>
      <family val="2"/>
    </font>
    <font>
      <sz val="11"/>
      <color theme="1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9"/>
      <color rgb="FFFFFFFF"/>
      <name val="微软雅黑"/>
      <family val="2"/>
      <charset val="134"/>
    </font>
    <font>
      <sz val="11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theme="2"/>
      <name val="微软雅黑"/>
      <family val="2"/>
      <charset val="134"/>
    </font>
    <font>
      <sz val="10"/>
      <name val="微软雅黑"/>
      <family val="2"/>
      <charset val="134"/>
    </font>
    <font>
      <b/>
      <sz val="22"/>
      <color theme="1"/>
      <name val="微软雅黑"/>
      <family val="2"/>
      <charset val="134"/>
    </font>
    <font>
      <sz val="14"/>
      <color rgb="FF191B1F"/>
      <name val="Arial"/>
      <family val="2"/>
    </font>
    <font>
      <sz val="11"/>
      <color rgb="FF191B1F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indexed="8"/>
      <name val="宋体"/>
      <family val="3"/>
      <charset val="134"/>
    </font>
    <font>
      <sz val="11"/>
      <color theme="1"/>
      <name val="Arial"/>
      <family val="2"/>
      <scheme val="minor"/>
    </font>
    <font>
      <sz val="12"/>
      <name val="宋体"/>
      <family val="3"/>
      <charset val="134"/>
    </font>
    <font>
      <sz val="9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776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</fills>
  <borders count="18">
    <border>
      <left/>
      <right/>
      <top/>
      <bottom/>
      <diagonal/>
    </border>
    <border>
      <left style="medium">
        <color rgb="FF002776"/>
      </left>
      <right/>
      <top/>
      <bottom style="medium">
        <color rgb="FF002776"/>
      </bottom>
      <diagonal/>
    </border>
    <border>
      <left/>
      <right style="medium">
        <color rgb="FF002776"/>
      </right>
      <top/>
      <bottom style="medium">
        <color rgb="FF002776"/>
      </bottom>
      <diagonal/>
    </border>
    <border>
      <left/>
      <right/>
      <top/>
      <bottom style="medium">
        <color rgb="FF002776"/>
      </bottom>
      <diagonal/>
    </border>
    <border>
      <left style="medium">
        <color rgb="FF002060"/>
      </left>
      <right style="medium">
        <color rgb="FFFFFFFF"/>
      </right>
      <top style="medium">
        <color rgb="FF002060"/>
      </top>
      <bottom style="medium">
        <color rgb="FF002060"/>
      </bottom>
      <diagonal/>
    </border>
    <border>
      <left style="medium">
        <color rgb="FF002776"/>
      </left>
      <right style="medium">
        <color rgb="FF002776"/>
      </right>
      <top/>
      <bottom style="medium">
        <color rgb="FF002776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10">
    <xf numFmtId="0" fontId="0" fillId="0" borderId="0"/>
    <xf numFmtId="0" fontId="15" fillId="0" borderId="0" applyNumberFormat="0" applyFill="0" applyBorder="0" applyAlignment="0" applyProtection="0"/>
    <xf numFmtId="0" fontId="16" fillId="0" borderId="0">
      <alignment vertical="center"/>
    </xf>
    <xf numFmtId="0" fontId="17" fillId="0" borderId="0"/>
    <xf numFmtId="0" fontId="1" fillId="0" borderId="0"/>
    <xf numFmtId="0" fontId="17" fillId="0" borderId="0">
      <alignment vertical="center"/>
    </xf>
    <xf numFmtId="0" fontId="16" fillId="0" borderId="0"/>
    <xf numFmtId="0" fontId="1" fillId="0" borderId="0"/>
    <xf numFmtId="0" fontId="18" fillId="0" borderId="0">
      <alignment vertical="center"/>
    </xf>
    <xf numFmtId="0" fontId="17" fillId="0" borderId="0"/>
  </cellStyleXfs>
  <cellXfs count="43">
    <xf numFmtId="0" fontId="0" fillId="0" borderId="0" xfId="0"/>
    <xf numFmtId="0" fontId="1" fillId="0" borderId="0" xfId="4"/>
    <xf numFmtId="0" fontId="2" fillId="0" borderId="0" xfId="0" applyFont="1"/>
    <xf numFmtId="0" fontId="3" fillId="0" borderId="0" xfId="1" applyFont="1"/>
    <xf numFmtId="0" fontId="5" fillId="2" borderId="4" xfId="0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>
      <alignment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justify" vertical="center" wrapText="1"/>
    </xf>
    <xf numFmtId="0" fontId="7" fillId="0" borderId="9" xfId="0" applyFont="1" applyBorder="1" applyAlignment="1">
      <alignment horizontal="justify" vertical="center" wrapText="1"/>
    </xf>
    <xf numFmtId="0" fontId="7" fillId="0" borderId="10" xfId="0" applyFont="1" applyBorder="1" applyAlignment="1">
      <alignment horizontal="justify" vertical="center" wrapText="1"/>
    </xf>
    <xf numFmtId="0" fontId="7" fillId="0" borderId="11" xfId="0" applyFont="1" applyBorder="1" applyAlignment="1">
      <alignment horizontal="justify" vertical="center" wrapText="1"/>
    </xf>
    <xf numFmtId="0" fontId="4" fillId="0" borderId="13" xfId="0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readingOrder="1"/>
    </xf>
    <xf numFmtId="0" fontId="8" fillId="0" borderId="0" xfId="0" applyFont="1" applyAlignment="1">
      <alignment vertical="center" wrapText="1"/>
    </xf>
    <xf numFmtId="0" fontId="9" fillId="4" borderId="13" xfId="2" applyFont="1" applyFill="1" applyBorder="1" applyAlignment="1">
      <alignment horizontal="center" vertical="center" wrapText="1" readingOrder="1"/>
    </xf>
    <xf numFmtId="0" fontId="9" fillId="7" borderId="13" xfId="2" applyFont="1" applyFill="1" applyBorder="1" applyAlignment="1">
      <alignment horizontal="center" vertical="center" wrapText="1" readingOrder="1"/>
    </xf>
    <xf numFmtId="0" fontId="9" fillId="8" borderId="13" xfId="2" applyFont="1" applyFill="1" applyBorder="1" applyAlignment="1">
      <alignment horizontal="center" vertical="center" wrapText="1" readingOrder="1"/>
    </xf>
    <xf numFmtId="0" fontId="8" fillId="0" borderId="13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8" fillId="0" borderId="13" xfId="0" applyFont="1" applyBorder="1" applyAlignment="1">
      <alignment horizontal="left" vertical="center"/>
    </xf>
    <xf numFmtId="0" fontId="8" fillId="0" borderId="13" xfId="0" applyFont="1" applyBorder="1" applyAlignment="1">
      <alignment vertical="center" wrapText="1"/>
    </xf>
    <xf numFmtId="0" fontId="8" fillId="0" borderId="13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13" xfId="0" applyFont="1" applyBorder="1" applyAlignment="1">
      <alignment horizontal="left" vertical="center"/>
    </xf>
    <xf numFmtId="0" fontId="8" fillId="0" borderId="12" xfId="0" applyFont="1" applyBorder="1" applyAlignment="1">
      <alignment vertical="center"/>
    </xf>
    <xf numFmtId="0" fontId="8" fillId="0" borderId="13" xfId="0" applyFont="1" applyBorder="1" applyAlignment="1">
      <alignment vertical="center" readingOrder="1"/>
    </xf>
    <xf numFmtId="0" fontId="0" fillId="0" borderId="13" xfId="0" applyBorder="1"/>
    <xf numFmtId="0" fontId="13" fillId="0" borderId="13" xfId="0" applyFont="1" applyBorder="1"/>
    <xf numFmtId="0" fontId="14" fillId="0" borderId="0" xfId="0" applyFont="1"/>
    <xf numFmtId="0" fontId="13" fillId="0" borderId="0" xfId="0" applyFont="1"/>
    <xf numFmtId="0" fontId="5" fillId="2" borderId="17" xfId="0" applyFont="1" applyFill="1" applyBorder="1" applyAlignment="1">
      <alignment horizontal="center" vertical="center" wrapText="1"/>
    </xf>
    <xf numFmtId="0" fontId="4" fillId="0" borderId="13" xfId="0" applyFont="1" applyBorder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10" fillId="5" borderId="13" xfId="6" applyFont="1" applyFill="1" applyBorder="1" applyAlignment="1">
      <alignment horizontal="center" vertical="center" readingOrder="1"/>
    </xf>
    <xf numFmtId="0" fontId="10" fillId="6" borderId="14" xfId="6" applyFont="1" applyFill="1" applyBorder="1" applyAlignment="1">
      <alignment horizontal="center" vertical="center" readingOrder="1"/>
    </xf>
    <xf numFmtId="0" fontId="10" fillId="6" borderId="15" xfId="6" applyFont="1" applyFill="1" applyBorder="1" applyAlignment="1">
      <alignment horizontal="center" vertical="center" readingOrder="1"/>
    </xf>
    <xf numFmtId="0" fontId="10" fillId="6" borderId="16" xfId="6" applyFont="1" applyFill="1" applyBorder="1" applyAlignment="1">
      <alignment horizontal="center" vertical="center" readingOrder="1"/>
    </xf>
    <xf numFmtId="0" fontId="4" fillId="0" borderId="12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</cellXfs>
  <cellStyles count="10">
    <cellStyle name="Normal 2" xfId="4" xr:uid="{00000000-0005-0000-0000-00002C000000}"/>
    <cellStyle name="常规" xfId="0" builtinId="0"/>
    <cellStyle name="常规 2" xfId="7" xr:uid="{00000000-0005-0000-0000-000036000000}"/>
    <cellStyle name="常规 2 2" xfId="5" xr:uid="{00000000-0005-0000-0000-00002F000000}"/>
    <cellStyle name="常规 2 9" xfId="2" xr:uid="{00000000-0005-0000-0000-000020000000}"/>
    <cellStyle name="常规 3" xfId="8" xr:uid="{00000000-0005-0000-0000-000037000000}"/>
    <cellStyle name="常规 3 11 2" xfId="3" xr:uid="{00000000-0005-0000-0000-000026000000}"/>
    <cellStyle name="常规 4" xfId="9" xr:uid="{00000000-0005-0000-0000-000038000000}"/>
    <cellStyle name="常规 5_！！！国家开发银行资产主题标准工作底稿（按模板）" xfId="6" xr:uid="{00000000-0005-0000-0000-000034000000}"/>
    <cellStyle name="超链接" xfId="1" builtinId="8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s\sunming\Documents\work\&#29289;&#27969;&#34892;&#19994;\&#20013;&#36828;&#33322;&#36816;\&#20132;&#20184;\172.50.0.216\XinXi\IT&#39033;&#30446;\MDM\2%20&#19994;&#21153;&#34013;&#22270;\21%20&#25968;&#25454;&#26631;&#20934;\240%20&#26041;&#26696;&#20132;&#25509;\&#34013;&#22270;&#26041;&#26696;-&#20013;&#36828;&#28023;&#36816;&#38598;&#22242;MDM&#39033;&#30446;-&#19994;&#21153;&#34013;&#22270;-&#25968;&#25454;&#26631;&#20934;-&#23458;&#25143;&#2249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Deloitte">
  <a:themeElements>
    <a:clrScheme name="Deloitte new">
      <a:dk1>
        <a:srgbClr val="000000"/>
      </a:dk1>
      <a:lt1>
        <a:srgbClr val="FFFFFF"/>
      </a:lt1>
      <a:dk2>
        <a:srgbClr val="002776"/>
      </a:dk2>
      <a:lt2>
        <a:srgbClr val="FFFFFF"/>
      </a:lt2>
      <a:accent1>
        <a:srgbClr val="00A1DE"/>
      </a:accent1>
      <a:accent2>
        <a:srgbClr val="92D400"/>
      </a:accent2>
      <a:accent3>
        <a:srgbClr val="72C7E7"/>
      </a:accent3>
      <a:accent4>
        <a:srgbClr val="3C8A2E"/>
      </a:accent4>
      <a:accent5>
        <a:srgbClr val="002776"/>
      </a:accent5>
      <a:accent6>
        <a:srgbClr val="C9DD03"/>
      </a:accent6>
      <a:hlink>
        <a:srgbClr val="00A1DE"/>
      </a:hlink>
      <a:folHlink>
        <a:srgbClr val="72C7E7"/>
      </a:folHlink>
    </a:clrScheme>
    <a:fontScheme name="Deloitte">
      <a:majorFont>
        <a:latin typeface="Times New Roman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41"/>
  <sheetViews>
    <sheetView zoomScale="85" zoomScaleNormal="85" workbookViewId="0">
      <selection activeCell="A10" sqref="A10:B12"/>
    </sheetView>
  </sheetViews>
  <sheetFormatPr defaultColWidth="8.69921875" defaultRowHeight="13.8" x14ac:dyDescent="0.25"/>
  <cols>
    <col min="2" max="2" width="21.59765625" customWidth="1"/>
  </cols>
  <sheetData>
    <row r="1" spans="1:3" ht="32.4" x14ac:dyDescent="0.25">
      <c r="A1" s="33" t="s">
        <v>0</v>
      </c>
      <c r="B1" s="33"/>
    </row>
    <row r="2" spans="1:3" ht="17.399999999999999" x14ac:dyDescent="0.3">
      <c r="A2" s="27">
        <v>1</v>
      </c>
      <c r="B2" s="28" t="str">
        <f ca="1">IFERROR(HYPERLINK(目录&amp;"!A1",MID(目录,FIND("]",目录)+1,49)),"")</f>
        <v/>
      </c>
      <c r="C2" s="29" t="str">
        <f>IFERROR(HYPERLINK(我的目录&amp;"!A1",MID(我的目录,FIND("]",我的目录)+1,49)),"")</f>
        <v/>
      </c>
    </row>
    <row r="3" spans="1:3" ht="17.399999999999999" x14ac:dyDescent="0.3">
      <c r="A3" s="27">
        <v>2</v>
      </c>
      <c r="B3" s="28" t="str">
        <f ca="1">IFERROR(HYPERLINK(目录&amp;"!A1",MID(目录,FIND("]",目录)+1,49)),"")</f>
        <v/>
      </c>
    </row>
    <row r="4" spans="1:3" ht="17.399999999999999" x14ac:dyDescent="0.3">
      <c r="A4" s="27">
        <v>3</v>
      </c>
      <c r="B4" s="28" t="str">
        <f ca="1">IFERROR(HYPERLINK(目录&amp;"!A1",MID(目录,FIND("]",目录)+1,49)),"")</f>
        <v/>
      </c>
    </row>
    <row r="5" spans="1:3" ht="17.399999999999999" x14ac:dyDescent="0.3">
      <c r="A5" s="27">
        <v>4</v>
      </c>
      <c r="B5" s="28" t="str">
        <f ca="1">IFERROR(HYPERLINK(目录&amp;"!A1",MID(目录,FIND("]",目录)+1,49)),"")</f>
        <v/>
      </c>
    </row>
    <row r="6" spans="1:3" ht="17.399999999999999" x14ac:dyDescent="0.3">
      <c r="A6" s="27">
        <v>5</v>
      </c>
      <c r="B6" s="28" t="str">
        <f ca="1">IFERROR(HYPERLINK(目录&amp;"!A1",MID(目录,FIND("]",目录)+1,49)),"")</f>
        <v/>
      </c>
    </row>
    <row r="7" spans="1:3" ht="17.399999999999999" x14ac:dyDescent="0.3">
      <c r="A7" s="27">
        <v>6</v>
      </c>
      <c r="B7" s="28" t="str">
        <f ca="1">IFERROR(HYPERLINK(目录&amp;"!A1",MID(目录,FIND("]",目录)+1,49)),"")</f>
        <v/>
      </c>
    </row>
    <row r="8" spans="1:3" ht="17.399999999999999" x14ac:dyDescent="0.3">
      <c r="A8" s="27">
        <v>7</v>
      </c>
      <c r="B8" s="28" t="str">
        <f ca="1">IFERROR(HYPERLINK(目录&amp;"!A1",MID(目录,FIND("]",目录)+1,49)),"")</f>
        <v/>
      </c>
    </row>
    <row r="9" spans="1:3" ht="17.399999999999999" x14ac:dyDescent="0.3">
      <c r="A9" s="27">
        <v>8</v>
      </c>
      <c r="B9" s="28" t="str">
        <f ca="1">IFERROR(HYPERLINK(目录&amp;"!A1",MID(目录,FIND("]",目录)+1,49)),"")</f>
        <v/>
      </c>
    </row>
    <row r="10" spans="1:3" ht="17.399999999999999" x14ac:dyDescent="0.3">
      <c r="A10" s="27">
        <v>9</v>
      </c>
      <c r="B10" s="28" t="str">
        <f ca="1">IFERROR(HYPERLINK(目录&amp;"!A1",MID(目录,FIND("]",目录)+1,49)),"")</f>
        <v/>
      </c>
    </row>
    <row r="11" spans="1:3" ht="17.399999999999999" x14ac:dyDescent="0.3">
      <c r="A11" s="27">
        <v>10</v>
      </c>
      <c r="B11" s="28" t="str">
        <f ca="1">IFERROR(HYPERLINK(目录&amp;"!A1",MID(目录,FIND("]",目录)+1,49)),"")</f>
        <v/>
      </c>
    </row>
    <row r="12" spans="1:3" ht="17.399999999999999" x14ac:dyDescent="0.3">
      <c r="A12" s="27">
        <v>11</v>
      </c>
      <c r="B12" s="28" t="str">
        <f ca="1">IFERROR(HYPERLINK(目录&amp;"!A1",MID(目录,FIND("]",目录)+1,49)),"")</f>
        <v/>
      </c>
    </row>
    <row r="13" spans="1:3" ht="17.399999999999999" x14ac:dyDescent="0.3">
      <c r="B13" s="30" t="str">
        <f ca="1">IFERROR(HYPERLINK(目录&amp;"!A1",MID(目录,FIND("]",目录)+1,49)),"")</f>
        <v/>
      </c>
    </row>
    <row r="14" spans="1:3" ht="17.399999999999999" x14ac:dyDescent="0.3">
      <c r="B14" s="30" t="str">
        <f ca="1">IFERROR(HYPERLINK(目录&amp;"!A1",MID(目录,FIND("]",目录)+1,49)),"")</f>
        <v/>
      </c>
    </row>
    <row r="15" spans="1:3" ht="17.399999999999999" x14ac:dyDescent="0.3">
      <c r="B15" s="30" t="str">
        <f ca="1">IFERROR(HYPERLINK(目录&amp;"!A1",MID(目录,FIND("]",目录)+1,49)),"")</f>
        <v/>
      </c>
    </row>
    <row r="16" spans="1:3" ht="17.399999999999999" x14ac:dyDescent="0.3">
      <c r="B16" s="30" t="str">
        <f ca="1">IFERROR(HYPERLINK(目录&amp;"!A1",MID(目录,FIND("]",目录)+1,49)),"")</f>
        <v/>
      </c>
    </row>
    <row r="17" spans="2:2" ht="17.399999999999999" x14ac:dyDescent="0.3">
      <c r="B17" s="30" t="str">
        <f ca="1">IFERROR(HYPERLINK(目录&amp;"!A1",MID(目录,FIND("]",目录)+1,49)),"")</f>
        <v/>
      </c>
    </row>
    <row r="18" spans="2:2" ht="17.399999999999999" x14ac:dyDescent="0.3">
      <c r="B18" s="30" t="str">
        <f ca="1">IFERROR(HYPERLINK(目录&amp;"!A1",MID(目录,FIND("]",目录)+1,49)),"")</f>
        <v/>
      </c>
    </row>
    <row r="19" spans="2:2" ht="17.399999999999999" x14ac:dyDescent="0.3">
      <c r="B19" s="30" t="str">
        <f ca="1">IFERROR(HYPERLINK(目录&amp;"!A1",MID(目录,FIND("]",目录)+1,49)),"")</f>
        <v/>
      </c>
    </row>
    <row r="20" spans="2:2" ht="17.399999999999999" x14ac:dyDescent="0.3">
      <c r="B20" s="30" t="str">
        <f ca="1">IFERROR(HYPERLINK(目录&amp;"!A1",MID(目录,FIND("]",目录)+1,49)),"")</f>
        <v/>
      </c>
    </row>
    <row r="21" spans="2:2" ht="17.399999999999999" x14ac:dyDescent="0.3">
      <c r="B21" s="30" t="str">
        <f ca="1">IFERROR(HYPERLINK(目录&amp;"!A1",MID(目录,FIND("]",目录)+1,49)),"")</f>
        <v/>
      </c>
    </row>
    <row r="22" spans="2:2" ht="17.399999999999999" x14ac:dyDescent="0.3">
      <c r="B22" s="30" t="str">
        <f ca="1">IFERROR(HYPERLINK(目录&amp;"!A1",MID(目录,FIND("]",目录)+1,49)),"")</f>
        <v/>
      </c>
    </row>
    <row r="23" spans="2:2" ht="17.399999999999999" x14ac:dyDescent="0.3">
      <c r="B23" s="30" t="str">
        <f ca="1">IFERROR(HYPERLINK(目录&amp;"!A1",MID(目录,FIND("]",目录)+1,49)),"")</f>
        <v/>
      </c>
    </row>
    <row r="24" spans="2:2" ht="17.399999999999999" x14ac:dyDescent="0.3">
      <c r="B24" s="30" t="str">
        <f ca="1">IFERROR(HYPERLINK(目录&amp;"!A1",MID(目录,FIND("]",目录)+1,49)),"")</f>
        <v/>
      </c>
    </row>
    <row r="25" spans="2:2" ht="17.399999999999999" x14ac:dyDescent="0.3">
      <c r="B25" s="30" t="str">
        <f ca="1">IFERROR(HYPERLINK(目录&amp;"!A1",MID(目录,FIND("]",目录)+1,49)),"")</f>
        <v/>
      </c>
    </row>
    <row r="26" spans="2:2" ht="17.399999999999999" x14ac:dyDescent="0.3">
      <c r="B26" s="30" t="str">
        <f ca="1">IFERROR(HYPERLINK(目录&amp;"!A1",MID(目录,FIND("]",目录)+1,49)),"")</f>
        <v/>
      </c>
    </row>
    <row r="27" spans="2:2" ht="17.399999999999999" x14ac:dyDescent="0.3">
      <c r="B27" s="30" t="str">
        <f ca="1">IFERROR(HYPERLINK(目录&amp;"!A1",MID(目录,FIND("]",目录)+1,49)),"")</f>
        <v/>
      </c>
    </row>
    <row r="28" spans="2:2" ht="17.399999999999999" x14ac:dyDescent="0.3">
      <c r="B28" s="30" t="str">
        <f ca="1">IFERROR(HYPERLINK(目录&amp;"!A1",MID(目录,FIND("]",目录)+1,49)),"")</f>
        <v/>
      </c>
    </row>
    <row r="29" spans="2:2" ht="17.399999999999999" x14ac:dyDescent="0.3">
      <c r="B29" s="30" t="str">
        <f ca="1">IFERROR(HYPERLINK(目录&amp;"!A1",MID(目录,FIND("]",目录)+1,49)),"")</f>
        <v/>
      </c>
    </row>
    <row r="30" spans="2:2" x14ac:dyDescent="0.25">
      <c r="B30" s="29"/>
    </row>
    <row r="31" spans="2:2" x14ac:dyDescent="0.25">
      <c r="B31" s="29" t="str">
        <f ca="1">IFERROR(HYPERLINK(目录&amp;"!A1",MID(目录,FIND("]",目录)+1,49)),"")</f>
        <v/>
      </c>
    </row>
    <row r="32" spans="2:2" x14ac:dyDescent="0.25">
      <c r="B32" s="29" t="str">
        <f ca="1">IFERROR(HYPERLINK(目录&amp;"!A1",MID(目录,FIND("]",目录)+1,49)),"")</f>
        <v/>
      </c>
    </row>
    <row r="33" spans="2:2" x14ac:dyDescent="0.25">
      <c r="B33" s="29" t="str">
        <f ca="1">IFERROR(HYPERLINK(目录&amp;"!A1",MID(目录,FIND("]",目录)+1,49)),"")</f>
        <v/>
      </c>
    </row>
    <row r="34" spans="2:2" x14ac:dyDescent="0.25">
      <c r="B34" s="29" t="str">
        <f ca="1">IFERROR(HYPERLINK(目录&amp;"!A1",MID(目录,FIND("]",目录)+1,49)),"")</f>
        <v/>
      </c>
    </row>
    <row r="35" spans="2:2" x14ac:dyDescent="0.25">
      <c r="B35" s="29" t="str">
        <f ca="1">IFERROR(HYPERLINK(目录&amp;"!A1",MID(目录,FIND("]",目录)+1,49)),"")</f>
        <v/>
      </c>
    </row>
    <row r="36" spans="2:2" x14ac:dyDescent="0.25">
      <c r="B36" s="29" t="str">
        <f ca="1">IFERROR(HYPERLINK(目录&amp;"!A1",MID(目录,FIND("]",目录)+1,49)),"")</f>
        <v/>
      </c>
    </row>
    <row r="37" spans="2:2" x14ac:dyDescent="0.25">
      <c r="B37" s="29" t="str">
        <f ca="1">IFERROR(HYPERLINK(目录&amp;"!A1",MID(目录,FIND("]",目录)+1,49)),"")</f>
        <v/>
      </c>
    </row>
    <row r="38" spans="2:2" x14ac:dyDescent="0.25">
      <c r="B38" s="29" t="str">
        <f ca="1">IFERROR(HYPERLINK(目录&amp;"!A1",MID(目录,FIND("]",目录)+1,49)),"")</f>
        <v/>
      </c>
    </row>
    <row r="39" spans="2:2" x14ac:dyDescent="0.25">
      <c r="B39" s="29" t="str">
        <f ca="1">IFERROR(HYPERLINK(目录&amp;"!A1",MID(目录,FIND("]",目录)+1,49)),"")</f>
        <v/>
      </c>
    </row>
    <row r="40" spans="2:2" x14ac:dyDescent="0.25">
      <c r="B40" s="29" t="str">
        <f ca="1">IFERROR(HYPERLINK(目录&amp;"!A1",MID(目录,FIND("]",目录)+1,49)),"")</f>
        <v/>
      </c>
    </row>
    <row r="41" spans="2:2" x14ac:dyDescent="0.25">
      <c r="B41" s="29" t="str">
        <f ca="1">IFERROR(HYPERLINK(目录&amp;"!A1",MID(目录,FIND("]",目录)+1,49)),"")</f>
        <v/>
      </c>
    </row>
  </sheetData>
  <mergeCells count="1">
    <mergeCell ref="A1:B1"/>
  </mergeCells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1:J13"/>
  <sheetViews>
    <sheetView tabSelected="1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9" defaultRowHeight="15" x14ac:dyDescent="0.25"/>
  <cols>
    <col min="1" max="1" width="3.8984375" style="12" customWidth="1"/>
    <col min="2" max="2" width="14.796875" style="13" customWidth="1"/>
    <col min="3" max="3" width="19.5" style="12" customWidth="1"/>
    <col min="4" max="4" width="45.5" style="14" customWidth="1"/>
    <col min="5" max="5" width="12.59765625" style="12" customWidth="1"/>
    <col min="6" max="6" width="14.796875" style="12" customWidth="1"/>
    <col min="7" max="7" width="7" style="12" customWidth="1"/>
    <col min="8" max="8" width="8.5" style="12" customWidth="1"/>
    <col min="9" max="9" width="11.19921875" style="12" customWidth="1"/>
    <col min="10" max="16384" width="9" style="12"/>
  </cols>
  <sheetData>
    <row r="1" spans="1:10" ht="13.05" customHeight="1" x14ac:dyDescent="0.25">
      <c r="A1" s="15"/>
      <c r="B1" s="34" t="s">
        <v>1</v>
      </c>
      <c r="C1" s="34"/>
      <c r="D1" s="34"/>
      <c r="E1" s="35" t="s">
        <v>2</v>
      </c>
      <c r="F1" s="36"/>
      <c r="G1" s="36"/>
      <c r="H1" s="36"/>
      <c r="I1" s="37"/>
    </row>
    <row r="2" spans="1:10" ht="45" customHeight="1" x14ac:dyDescent="0.25">
      <c r="A2" s="15" t="s">
        <v>3</v>
      </c>
      <c r="B2" s="16" t="s">
        <v>4</v>
      </c>
      <c r="C2" s="16" t="s">
        <v>5</v>
      </c>
      <c r="D2" s="16" t="s">
        <v>6</v>
      </c>
      <c r="E2" s="17" t="s">
        <v>7</v>
      </c>
      <c r="F2" s="17" t="s">
        <v>8</v>
      </c>
      <c r="G2" s="17" t="s">
        <v>9</v>
      </c>
      <c r="H2" s="17" t="s">
        <v>10</v>
      </c>
      <c r="I2" s="17" t="s">
        <v>11</v>
      </c>
    </row>
    <row r="3" spans="1:10" x14ac:dyDescent="0.25">
      <c r="A3" s="18">
        <v>1</v>
      </c>
      <c r="B3" s="19" t="s">
        <v>12</v>
      </c>
      <c r="C3" s="20" t="s">
        <v>13</v>
      </c>
      <c r="D3" s="21" t="s">
        <v>14</v>
      </c>
      <c r="E3" s="22" t="s">
        <v>15</v>
      </c>
      <c r="F3" s="22" t="s">
        <v>16</v>
      </c>
      <c r="G3" s="22">
        <v>8</v>
      </c>
      <c r="H3" s="23" t="s">
        <v>17</v>
      </c>
      <c r="I3" s="23" t="s">
        <v>18</v>
      </c>
    </row>
    <row r="4" spans="1:10" x14ac:dyDescent="0.25">
      <c r="A4" s="18">
        <v>2</v>
      </c>
      <c r="B4" s="23" t="s">
        <v>19</v>
      </c>
      <c r="C4" s="24" t="s">
        <v>223</v>
      </c>
      <c r="D4" s="21"/>
      <c r="E4" s="22" t="s">
        <v>20</v>
      </c>
      <c r="F4" s="22" t="s">
        <v>16</v>
      </c>
      <c r="G4" s="22">
        <v>100</v>
      </c>
      <c r="H4" s="23" t="s">
        <v>17</v>
      </c>
      <c r="I4" s="23" t="s">
        <v>18</v>
      </c>
    </row>
    <row r="5" spans="1:10" x14ac:dyDescent="0.25">
      <c r="A5" s="18">
        <v>3</v>
      </c>
      <c r="B5" s="23" t="s">
        <v>21</v>
      </c>
      <c r="C5" s="23" t="s">
        <v>224</v>
      </c>
      <c r="D5" s="21"/>
      <c r="E5" s="23" t="s">
        <v>22</v>
      </c>
      <c r="F5" s="22" t="s">
        <v>16</v>
      </c>
      <c r="G5" s="22">
        <v>20</v>
      </c>
      <c r="H5" s="22" t="s">
        <v>18</v>
      </c>
      <c r="I5" s="23" t="s">
        <v>18</v>
      </c>
    </row>
    <row r="6" spans="1:10" x14ac:dyDescent="0.25">
      <c r="A6" s="18">
        <v>4</v>
      </c>
      <c r="B6" s="23" t="s">
        <v>23</v>
      </c>
      <c r="C6" s="23" t="s">
        <v>24</v>
      </c>
      <c r="D6" s="21"/>
      <c r="E6" s="22" t="s">
        <v>25</v>
      </c>
      <c r="F6" s="22" t="s">
        <v>16</v>
      </c>
      <c r="G6" s="22">
        <v>8</v>
      </c>
      <c r="H6" s="23" t="s">
        <v>17</v>
      </c>
      <c r="I6" s="23" t="s">
        <v>18</v>
      </c>
    </row>
    <row r="7" spans="1:10" x14ac:dyDescent="0.25">
      <c r="A7" s="18">
        <v>5</v>
      </c>
      <c r="B7" s="23" t="s">
        <v>26</v>
      </c>
      <c r="C7" s="23" t="s">
        <v>27</v>
      </c>
      <c r="D7" s="21" t="s">
        <v>28</v>
      </c>
      <c r="E7" s="25" t="s">
        <v>29</v>
      </c>
      <c r="F7" s="22" t="s">
        <v>16</v>
      </c>
      <c r="G7" s="22">
        <v>200</v>
      </c>
      <c r="H7" s="22" t="s">
        <v>18</v>
      </c>
      <c r="I7" s="23" t="s">
        <v>18</v>
      </c>
    </row>
    <row r="8" spans="1:10" x14ac:dyDescent="0.25">
      <c r="A8" s="18">
        <v>6</v>
      </c>
      <c r="B8" s="23" t="s">
        <v>30</v>
      </c>
      <c r="C8" s="23" t="s">
        <v>31</v>
      </c>
      <c r="D8" s="21" t="s">
        <v>32</v>
      </c>
      <c r="E8" s="25" t="s">
        <v>31</v>
      </c>
      <c r="F8" s="22" t="s">
        <v>16</v>
      </c>
      <c r="G8" s="22">
        <v>100</v>
      </c>
      <c r="H8" s="22" t="s">
        <v>17</v>
      </c>
      <c r="I8" s="23" t="s">
        <v>18</v>
      </c>
    </row>
    <row r="9" spans="1:10" x14ac:dyDescent="0.25">
      <c r="A9" s="18">
        <v>7</v>
      </c>
      <c r="B9" s="23" t="s">
        <v>33</v>
      </c>
      <c r="C9" s="23" t="s">
        <v>34</v>
      </c>
      <c r="D9" s="21"/>
      <c r="E9" s="25" t="s">
        <v>35</v>
      </c>
      <c r="F9" s="22" t="s">
        <v>16</v>
      </c>
      <c r="G9" s="22">
        <v>20</v>
      </c>
      <c r="H9" s="22" t="s">
        <v>17</v>
      </c>
      <c r="I9" s="23" t="s">
        <v>18</v>
      </c>
    </row>
    <row r="10" spans="1:10" x14ac:dyDescent="0.25">
      <c r="A10" s="18">
        <v>8</v>
      </c>
      <c r="B10" s="23" t="s">
        <v>36</v>
      </c>
      <c r="C10" s="23" t="s">
        <v>37</v>
      </c>
      <c r="D10" s="21"/>
      <c r="E10" s="23" t="s">
        <v>38</v>
      </c>
      <c r="F10" s="22" t="s">
        <v>16</v>
      </c>
      <c r="G10" s="22">
        <v>50</v>
      </c>
      <c r="H10" s="22" t="s">
        <v>17</v>
      </c>
      <c r="I10" s="23" t="s">
        <v>18</v>
      </c>
    </row>
    <row r="11" spans="1:10" x14ac:dyDescent="0.25">
      <c r="A11" s="18"/>
      <c r="B11" s="23" t="s">
        <v>39</v>
      </c>
      <c r="C11" s="23" t="s">
        <v>40</v>
      </c>
      <c r="D11" s="21"/>
      <c r="E11" s="23" t="s">
        <v>41</v>
      </c>
      <c r="F11" s="22" t="s">
        <v>16</v>
      </c>
      <c r="G11" s="22">
        <v>2</v>
      </c>
      <c r="H11" s="22" t="s">
        <v>17</v>
      </c>
      <c r="I11" s="23" t="s">
        <v>17</v>
      </c>
      <c r="J11" s="12" t="s">
        <v>222</v>
      </c>
    </row>
    <row r="12" spans="1:10" x14ac:dyDescent="0.25">
      <c r="A12" s="18"/>
      <c r="B12" s="23" t="s">
        <v>42</v>
      </c>
      <c r="C12" s="23" t="s">
        <v>43</v>
      </c>
      <c r="D12" s="21"/>
      <c r="E12" s="23" t="s">
        <v>44</v>
      </c>
      <c r="F12" s="22" t="s">
        <v>16</v>
      </c>
      <c r="G12" s="22">
        <v>50</v>
      </c>
      <c r="H12" s="22" t="s">
        <v>17</v>
      </c>
      <c r="I12" s="23" t="s">
        <v>17</v>
      </c>
      <c r="J12" s="12" t="s">
        <v>222</v>
      </c>
    </row>
    <row r="13" spans="1:10" x14ac:dyDescent="0.25">
      <c r="A13" s="18"/>
      <c r="B13" s="26" t="s">
        <v>45</v>
      </c>
      <c r="C13" s="22" t="s">
        <v>46</v>
      </c>
      <c r="D13" s="21"/>
      <c r="E13" s="22" t="s">
        <v>47</v>
      </c>
      <c r="F13" s="22" t="s">
        <v>16</v>
      </c>
      <c r="G13" s="22">
        <v>20</v>
      </c>
      <c r="H13" s="22" t="s">
        <v>18</v>
      </c>
      <c r="I13" s="22" t="s">
        <v>18</v>
      </c>
      <c r="J13" s="12" t="s">
        <v>222</v>
      </c>
    </row>
  </sheetData>
  <autoFilter ref="A2:I13" xr:uid="{00000000-0009-0000-0000-000001000000}"/>
  <mergeCells count="2">
    <mergeCell ref="B1:D1"/>
    <mergeCell ref="E1:I1"/>
  </mergeCells>
  <phoneticPr fontId="19" type="noConversion"/>
  <pageMargins left="0.7" right="0.7" top="0.75" bottom="0.75" header="0.3" footer="0.3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'\\Users\sunming\Documents\work\物流行业\中远航运\交付\172.50.0.216\XinXi\IT项目\MDM\2 业务蓝图\21 数据标准\240 方案交接\[蓝图方案-中远海运集团MDM项目-业务蓝图-数据标准-客户域.xlsx]Sheet1'!#REF!</xm:f>
          </x14:formula1>
          <xm:sqref>E1 E2:F2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</sheetPr>
  <dimension ref="A1:C6"/>
  <sheetViews>
    <sheetView workbookViewId="0">
      <pane ySplit="2" topLeftCell="A3" activePane="bottomLeft" state="frozen"/>
      <selection pane="bottomLeft" activeCell="E9" sqref="E9"/>
    </sheetView>
  </sheetViews>
  <sheetFormatPr defaultColWidth="8.69921875" defaultRowHeight="15.6" x14ac:dyDescent="0.35"/>
  <cols>
    <col min="1" max="1" width="8.69921875" style="2"/>
    <col min="2" max="2" width="7.3984375" style="2" customWidth="1"/>
    <col min="3" max="3" width="25.796875" style="2" customWidth="1"/>
    <col min="4" max="16384" width="8.69921875" style="2"/>
  </cols>
  <sheetData>
    <row r="1" spans="1:3" ht="31.05" customHeight="1" x14ac:dyDescent="0.35">
      <c r="A1" s="3" t="s">
        <v>48</v>
      </c>
      <c r="B1" s="38" t="s">
        <v>49</v>
      </c>
      <c r="C1" s="38"/>
    </row>
    <row r="2" spans="1:3" x14ac:dyDescent="0.35">
      <c r="B2" s="31" t="s">
        <v>50</v>
      </c>
      <c r="C2" s="31" t="s">
        <v>51</v>
      </c>
    </row>
    <row r="3" spans="1:3" x14ac:dyDescent="0.35">
      <c r="B3" s="11">
        <v>0</v>
      </c>
      <c r="C3" s="32" t="s">
        <v>52</v>
      </c>
    </row>
    <row r="4" spans="1:3" x14ac:dyDescent="0.35">
      <c r="B4" s="11">
        <v>1</v>
      </c>
      <c r="C4" s="32" t="s">
        <v>53</v>
      </c>
    </row>
    <row r="5" spans="1:3" x14ac:dyDescent="0.35">
      <c r="B5" s="11">
        <v>2</v>
      </c>
      <c r="C5" s="32" t="s">
        <v>54</v>
      </c>
    </row>
    <row r="6" spans="1:3" x14ac:dyDescent="0.35">
      <c r="B6" s="11">
        <v>9</v>
      </c>
      <c r="C6" s="32" t="s">
        <v>55</v>
      </c>
    </row>
  </sheetData>
  <mergeCells count="1">
    <mergeCell ref="B1:C1"/>
  </mergeCells>
  <phoneticPr fontId="19" type="noConversion"/>
  <hyperlinks>
    <hyperlink ref="A1" location="员工!A1" display="返回目录" xr:uid="{00000000-0004-0000-0200-000000000000}"/>
  </hyperlink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A1:G27"/>
  <sheetViews>
    <sheetView topLeftCell="A12" workbookViewId="0">
      <selection activeCell="C23" sqref="C23"/>
    </sheetView>
  </sheetViews>
  <sheetFormatPr defaultColWidth="9" defaultRowHeight="13.8" x14ac:dyDescent="0.25"/>
  <sheetData>
    <row r="1" spans="1:3" ht="15.6" x14ac:dyDescent="0.35">
      <c r="A1" s="3" t="s">
        <v>48</v>
      </c>
      <c r="B1" s="39" t="s">
        <v>45</v>
      </c>
      <c r="C1" s="39"/>
    </row>
    <row r="2" spans="1:3" x14ac:dyDescent="0.25">
      <c r="B2" s="6" t="s">
        <v>50</v>
      </c>
      <c r="C2" s="6" t="s">
        <v>51</v>
      </c>
    </row>
    <row r="3" spans="1:3" x14ac:dyDescent="0.25">
      <c r="B3" s="7">
        <v>0</v>
      </c>
      <c r="C3" s="8" t="s">
        <v>56</v>
      </c>
    </row>
    <row r="4" spans="1:3" x14ac:dyDescent="0.25">
      <c r="B4" s="9">
        <v>1</v>
      </c>
      <c r="C4" s="10" t="s">
        <v>57</v>
      </c>
    </row>
    <row r="5" spans="1:3" x14ac:dyDescent="0.25">
      <c r="B5" s="9">
        <v>2</v>
      </c>
      <c r="C5" s="10" t="s">
        <v>58</v>
      </c>
    </row>
    <row r="6" spans="1:3" x14ac:dyDescent="0.25">
      <c r="B6" s="9">
        <v>3</v>
      </c>
      <c r="C6" s="10" t="s">
        <v>59</v>
      </c>
    </row>
    <row r="27" spans="7:7" ht="15.6" x14ac:dyDescent="0.35">
      <c r="G27" s="3"/>
    </row>
  </sheetData>
  <mergeCells count="1">
    <mergeCell ref="B1:C1"/>
  </mergeCells>
  <phoneticPr fontId="19" type="noConversion"/>
  <hyperlinks>
    <hyperlink ref="A1" location="员工!A1" display="返回目录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B6"/>
  <sheetViews>
    <sheetView workbookViewId="0">
      <selection activeCell="M9" sqref="M9"/>
    </sheetView>
  </sheetViews>
  <sheetFormatPr defaultColWidth="9" defaultRowHeight="13.8" x14ac:dyDescent="0.25"/>
  <sheetData>
    <row r="1" spans="1:2" x14ac:dyDescent="0.25">
      <c r="A1" t="s">
        <v>60</v>
      </c>
      <c r="B1" t="s">
        <v>60</v>
      </c>
    </row>
    <row r="3" spans="1:2" x14ac:dyDescent="0.25">
      <c r="A3" t="s">
        <v>61</v>
      </c>
      <c r="B3" t="s">
        <v>62</v>
      </c>
    </row>
    <row r="4" spans="1:2" x14ac:dyDescent="0.25">
      <c r="A4" t="s">
        <v>63</v>
      </c>
      <c r="B4" t="s">
        <v>64</v>
      </c>
    </row>
    <row r="5" spans="1:2" x14ac:dyDescent="0.25">
      <c r="A5" t="s">
        <v>65</v>
      </c>
      <c r="B5" t="s">
        <v>66</v>
      </c>
    </row>
    <row r="6" spans="1:2" x14ac:dyDescent="0.25">
      <c r="B6" t="s">
        <v>65</v>
      </c>
    </row>
  </sheetData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G84"/>
  <sheetViews>
    <sheetView workbookViewId="0">
      <selection activeCell="K7" sqref="K7"/>
    </sheetView>
  </sheetViews>
  <sheetFormatPr defaultColWidth="8.69921875" defaultRowHeight="15.6" x14ac:dyDescent="0.35"/>
  <cols>
    <col min="1" max="2" width="8.69921875" style="2"/>
    <col min="3" max="3" width="26.59765625" style="2" customWidth="1"/>
    <col min="4" max="4" width="8.69921875" style="2"/>
    <col min="5" max="5" width="9.3984375" style="2" customWidth="1"/>
    <col min="6" max="6" width="8.09765625" style="2" customWidth="1"/>
    <col min="7" max="7" width="17.296875" style="2" customWidth="1"/>
    <col min="8" max="16384" width="8.69921875" style="2"/>
  </cols>
  <sheetData>
    <row r="1" spans="1:7" x14ac:dyDescent="0.35">
      <c r="A1" s="3" t="s">
        <v>48</v>
      </c>
      <c r="B1" s="40" t="s">
        <v>67</v>
      </c>
      <c r="C1" s="41"/>
      <c r="E1" s="40" t="s">
        <v>68</v>
      </c>
      <c r="F1" s="42"/>
      <c r="G1" s="41"/>
    </row>
    <row r="2" spans="1:7" x14ac:dyDescent="0.35">
      <c r="B2" s="4" t="s">
        <v>69</v>
      </c>
      <c r="C2" s="4" t="s">
        <v>70</v>
      </c>
      <c r="E2" s="4" t="s">
        <v>71</v>
      </c>
      <c r="F2" s="4" t="s">
        <v>69</v>
      </c>
      <c r="G2" s="4" t="s">
        <v>70</v>
      </c>
    </row>
    <row r="3" spans="1:7" x14ac:dyDescent="0.35">
      <c r="B3" s="5" t="s">
        <v>72</v>
      </c>
      <c r="C3" s="5" t="s">
        <v>73</v>
      </c>
      <c r="E3" s="5" t="s">
        <v>72</v>
      </c>
      <c r="F3" s="5" t="s">
        <v>74</v>
      </c>
      <c r="G3" s="5" t="s">
        <v>75</v>
      </c>
    </row>
    <row r="4" spans="1:7" x14ac:dyDescent="0.35">
      <c r="B4" s="5" t="s">
        <v>76</v>
      </c>
      <c r="C4" s="5" t="s">
        <v>77</v>
      </c>
      <c r="E4" s="5" t="s">
        <v>72</v>
      </c>
      <c r="F4" s="5" t="s">
        <v>78</v>
      </c>
      <c r="G4" s="5" t="s">
        <v>79</v>
      </c>
    </row>
    <row r="5" spans="1:7" x14ac:dyDescent="0.35">
      <c r="B5" s="5" t="s">
        <v>80</v>
      </c>
      <c r="C5" s="5" t="s">
        <v>81</v>
      </c>
      <c r="E5" s="5" t="s">
        <v>72</v>
      </c>
      <c r="F5" s="5" t="s">
        <v>82</v>
      </c>
      <c r="G5" s="5" t="s">
        <v>83</v>
      </c>
    </row>
    <row r="6" spans="1:7" x14ac:dyDescent="0.35">
      <c r="B6" s="5" t="s">
        <v>84</v>
      </c>
      <c r="C6" s="5" t="s">
        <v>85</v>
      </c>
      <c r="E6" s="5" t="s">
        <v>72</v>
      </c>
      <c r="F6" s="5" t="s">
        <v>86</v>
      </c>
      <c r="G6" s="5" t="s">
        <v>87</v>
      </c>
    </row>
    <row r="7" spans="1:7" x14ac:dyDescent="0.35">
      <c r="B7" s="5" t="s">
        <v>88</v>
      </c>
      <c r="C7" s="5" t="s">
        <v>89</v>
      </c>
      <c r="E7" s="5" t="s">
        <v>72</v>
      </c>
      <c r="F7" s="5" t="s">
        <v>90</v>
      </c>
      <c r="G7" s="5" t="s">
        <v>91</v>
      </c>
    </row>
    <row r="8" spans="1:7" x14ac:dyDescent="0.35">
      <c r="B8" s="5" t="s">
        <v>92</v>
      </c>
      <c r="C8" s="5" t="s">
        <v>93</v>
      </c>
      <c r="E8" s="5" t="s">
        <v>72</v>
      </c>
      <c r="F8" s="5" t="s">
        <v>94</v>
      </c>
      <c r="G8" s="5" t="s">
        <v>95</v>
      </c>
    </row>
    <row r="9" spans="1:7" x14ac:dyDescent="0.35">
      <c r="B9" s="5" t="s">
        <v>96</v>
      </c>
      <c r="C9" s="5" t="s">
        <v>58</v>
      </c>
      <c r="E9" s="5" t="s">
        <v>72</v>
      </c>
      <c r="F9" s="5" t="s">
        <v>97</v>
      </c>
      <c r="G9" s="5" t="s">
        <v>98</v>
      </c>
    </row>
    <row r="10" spans="1:7" x14ac:dyDescent="0.35">
      <c r="B10" s="5" t="s">
        <v>99</v>
      </c>
      <c r="C10" s="5" t="s">
        <v>100</v>
      </c>
      <c r="E10" s="5" t="s">
        <v>72</v>
      </c>
      <c r="F10" s="5" t="s">
        <v>101</v>
      </c>
      <c r="G10" s="5" t="s">
        <v>102</v>
      </c>
    </row>
    <row r="11" spans="1:7" x14ac:dyDescent="0.35">
      <c r="B11" s="5" t="s">
        <v>103</v>
      </c>
      <c r="C11" s="5" t="s">
        <v>56</v>
      </c>
      <c r="E11" s="5" t="s">
        <v>72</v>
      </c>
      <c r="F11" s="5" t="s">
        <v>104</v>
      </c>
      <c r="G11" s="5" t="s">
        <v>105</v>
      </c>
    </row>
    <row r="12" spans="1:7" x14ac:dyDescent="0.35">
      <c r="B12" s="5" t="s">
        <v>106</v>
      </c>
      <c r="C12" s="5" t="s">
        <v>107</v>
      </c>
      <c r="E12" s="5" t="s">
        <v>72</v>
      </c>
      <c r="F12" s="5" t="s">
        <v>108</v>
      </c>
      <c r="G12" s="5" t="s">
        <v>109</v>
      </c>
    </row>
    <row r="13" spans="1:7" x14ac:dyDescent="0.35">
      <c r="E13" s="5" t="s">
        <v>72</v>
      </c>
      <c r="F13" s="5" t="s">
        <v>110</v>
      </c>
      <c r="G13" s="5" t="s">
        <v>111</v>
      </c>
    </row>
    <row r="14" spans="1:7" x14ac:dyDescent="0.35">
      <c r="E14" s="5" t="s">
        <v>72</v>
      </c>
      <c r="F14" s="5" t="s">
        <v>112</v>
      </c>
      <c r="G14" s="5" t="s">
        <v>113</v>
      </c>
    </row>
    <row r="15" spans="1:7" x14ac:dyDescent="0.35">
      <c r="E15" s="5" t="s">
        <v>72</v>
      </c>
      <c r="F15" s="5" t="s">
        <v>114</v>
      </c>
      <c r="G15" s="5" t="s">
        <v>115</v>
      </c>
    </row>
    <row r="16" spans="1:7" x14ac:dyDescent="0.35">
      <c r="E16" s="5" t="s">
        <v>72</v>
      </c>
      <c r="F16" s="5" t="s">
        <v>116</v>
      </c>
      <c r="G16" s="5" t="s">
        <v>117</v>
      </c>
    </row>
    <row r="17" spans="5:7" x14ac:dyDescent="0.35">
      <c r="E17" s="5" t="s">
        <v>72</v>
      </c>
      <c r="F17" s="5" t="s">
        <v>118</v>
      </c>
      <c r="G17" s="5" t="s">
        <v>119</v>
      </c>
    </row>
    <row r="18" spans="5:7" x14ac:dyDescent="0.35">
      <c r="E18" s="5" t="s">
        <v>72</v>
      </c>
      <c r="F18" s="5" t="s">
        <v>120</v>
      </c>
      <c r="G18" s="5" t="s">
        <v>121</v>
      </c>
    </row>
    <row r="19" spans="5:7" x14ac:dyDescent="0.35">
      <c r="E19" s="5" t="s">
        <v>76</v>
      </c>
      <c r="F19" s="5" t="s">
        <v>122</v>
      </c>
      <c r="G19" s="5" t="s">
        <v>75</v>
      </c>
    </row>
    <row r="20" spans="5:7" x14ac:dyDescent="0.35">
      <c r="E20" s="5" t="s">
        <v>76</v>
      </c>
      <c r="F20" s="5" t="s">
        <v>123</v>
      </c>
      <c r="G20" s="5" t="s">
        <v>79</v>
      </c>
    </row>
    <row r="21" spans="5:7" x14ac:dyDescent="0.35">
      <c r="E21" s="5" t="s">
        <v>76</v>
      </c>
      <c r="F21" s="5" t="s">
        <v>124</v>
      </c>
      <c r="G21" s="5" t="s">
        <v>83</v>
      </c>
    </row>
    <row r="22" spans="5:7" x14ac:dyDescent="0.35">
      <c r="E22" s="5" t="s">
        <v>76</v>
      </c>
      <c r="F22" s="5" t="s">
        <v>125</v>
      </c>
      <c r="G22" s="5" t="s">
        <v>87</v>
      </c>
    </row>
    <row r="23" spans="5:7" x14ac:dyDescent="0.35">
      <c r="E23" s="5" t="s">
        <v>76</v>
      </c>
      <c r="F23" s="5" t="s">
        <v>126</v>
      </c>
      <c r="G23" s="5" t="s">
        <v>91</v>
      </c>
    </row>
    <row r="24" spans="5:7" x14ac:dyDescent="0.35">
      <c r="E24" s="5" t="s">
        <v>76</v>
      </c>
      <c r="F24" s="5" t="s">
        <v>127</v>
      </c>
      <c r="G24" s="5" t="s">
        <v>95</v>
      </c>
    </row>
    <row r="25" spans="5:7" x14ac:dyDescent="0.35">
      <c r="E25" s="5" t="s">
        <v>76</v>
      </c>
      <c r="F25" s="5" t="s">
        <v>128</v>
      </c>
      <c r="G25" s="5" t="s">
        <v>98</v>
      </c>
    </row>
    <row r="26" spans="5:7" x14ac:dyDescent="0.35">
      <c r="E26" s="5" t="s">
        <v>76</v>
      </c>
      <c r="F26" s="5" t="s">
        <v>129</v>
      </c>
      <c r="G26" s="5" t="s">
        <v>102</v>
      </c>
    </row>
    <row r="27" spans="5:7" x14ac:dyDescent="0.35">
      <c r="E27" s="5" t="s">
        <v>76</v>
      </c>
      <c r="F27" s="5" t="s">
        <v>130</v>
      </c>
      <c r="G27" s="5" t="s">
        <v>105</v>
      </c>
    </row>
    <row r="28" spans="5:7" x14ac:dyDescent="0.35">
      <c r="E28" s="5" t="s">
        <v>76</v>
      </c>
      <c r="F28" s="5" t="s">
        <v>131</v>
      </c>
      <c r="G28" s="5" t="s">
        <v>109</v>
      </c>
    </row>
    <row r="29" spans="5:7" x14ac:dyDescent="0.35">
      <c r="E29" s="5" t="s">
        <v>76</v>
      </c>
      <c r="F29" s="5" t="s">
        <v>132</v>
      </c>
      <c r="G29" s="5" t="s">
        <v>111</v>
      </c>
    </row>
    <row r="30" spans="5:7" x14ac:dyDescent="0.35">
      <c r="E30" s="5" t="s">
        <v>76</v>
      </c>
      <c r="F30" s="5" t="s">
        <v>133</v>
      </c>
      <c r="G30" s="5" t="s">
        <v>113</v>
      </c>
    </row>
    <row r="31" spans="5:7" x14ac:dyDescent="0.35">
      <c r="E31" s="5" t="s">
        <v>76</v>
      </c>
      <c r="F31" s="5" t="s">
        <v>134</v>
      </c>
      <c r="G31" s="5" t="s">
        <v>115</v>
      </c>
    </row>
    <row r="32" spans="5:7" x14ac:dyDescent="0.35">
      <c r="E32" s="5" t="s">
        <v>76</v>
      </c>
      <c r="F32" s="5" t="s">
        <v>135</v>
      </c>
      <c r="G32" s="5" t="s">
        <v>117</v>
      </c>
    </row>
    <row r="33" spans="5:7" x14ac:dyDescent="0.35">
      <c r="E33" s="5" t="s">
        <v>76</v>
      </c>
      <c r="F33" s="5" t="s">
        <v>136</v>
      </c>
      <c r="G33" s="5" t="s">
        <v>119</v>
      </c>
    </row>
    <row r="34" spans="5:7" x14ac:dyDescent="0.35">
      <c r="E34" s="5" t="s">
        <v>76</v>
      </c>
      <c r="F34" s="5" t="s">
        <v>137</v>
      </c>
      <c r="G34" s="5" t="s">
        <v>121</v>
      </c>
    </row>
    <row r="35" spans="5:7" x14ac:dyDescent="0.35">
      <c r="E35" s="5" t="s">
        <v>80</v>
      </c>
      <c r="F35" s="5" t="s">
        <v>138</v>
      </c>
      <c r="G35" s="5" t="s">
        <v>75</v>
      </c>
    </row>
    <row r="36" spans="5:7" x14ac:dyDescent="0.35">
      <c r="E36" s="5" t="s">
        <v>80</v>
      </c>
      <c r="F36" s="5" t="s">
        <v>139</v>
      </c>
      <c r="G36" s="5" t="s">
        <v>79</v>
      </c>
    </row>
    <row r="37" spans="5:7" x14ac:dyDescent="0.35">
      <c r="E37" s="5" t="s">
        <v>80</v>
      </c>
      <c r="F37" s="5" t="s">
        <v>140</v>
      </c>
      <c r="G37" s="5" t="s">
        <v>83</v>
      </c>
    </row>
    <row r="38" spans="5:7" x14ac:dyDescent="0.35">
      <c r="E38" s="5" t="s">
        <v>80</v>
      </c>
      <c r="F38" s="5" t="s">
        <v>141</v>
      </c>
      <c r="G38" s="5" t="s">
        <v>87</v>
      </c>
    </row>
    <row r="39" spans="5:7" x14ac:dyDescent="0.35">
      <c r="E39" s="5" t="s">
        <v>80</v>
      </c>
      <c r="F39" s="5" t="s">
        <v>142</v>
      </c>
      <c r="G39" s="5" t="s">
        <v>91</v>
      </c>
    </row>
    <row r="40" spans="5:7" x14ac:dyDescent="0.35">
      <c r="E40" s="5" t="s">
        <v>80</v>
      </c>
      <c r="F40" s="5" t="s">
        <v>143</v>
      </c>
      <c r="G40" s="5" t="s">
        <v>95</v>
      </c>
    </row>
    <row r="41" spans="5:7" x14ac:dyDescent="0.35">
      <c r="E41" s="5" t="s">
        <v>80</v>
      </c>
      <c r="F41" s="5" t="s">
        <v>144</v>
      </c>
      <c r="G41" s="5" t="s">
        <v>98</v>
      </c>
    </row>
    <row r="42" spans="5:7" x14ac:dyDescent="0.35">
      <c r="E42" s="5" t="s">
        <v>80</v>
      </c>
      <c r="F42" s="5" t="s">
        <v>145</v>
      </c>
      <c r="G42" s="5" t="s">
        <v>102</v>
      </c>
    </row>
    <row r="43" spans="5:7" x14ac:dyDescent="0.35">
      <c r="E43" s="5" t="s">
        <v>80</v>
      </c>
      <c r="F43" s="5" t="s">
        <v>146</v>
      </c>
      <c r="G43" s="5" t="s">
        <v>105</v>
      </c>
    </row>
    <row r="44" spans="5:7" x14ac:dyDescent="0.35">
      <c r="E44" s="5" t="s">
        <v>80</v>
      </c>
      <c r="F44" s="5" t="s">
        <v>147</v>
      </c>
      <c r="G44" s="5" t="s">
        <v>109</v>
      </c>
    </row>
    <row r="45" spans="5:7" x14ac:dyDescent="0.35">
      <c r="E45" s="5" t="s">
        <v>80</v>
      </c>
      <c r="F45" s="5" t="s">
        <v>148</v>
      </c>
      <c r="G45" s="5" t="s">
        <v>111</v>
      </c>
    </row>
    <row r="46" spans="5:7" x14ac:dyDescent="0.35">
      <c r="E46" s="5" t="s">
        <v>80</v>
      </c>
      <c r="F46" s="5" t="s">
        <v>149</v>
      </c>
      <c r="G46" s="5" t="s">
        <v>113</v>
      </c>
    </row>
    <row r="47" spans="5:7" x14ac:dyDescent="0.35">
      <c r="E47" s="5" t="s">
        <v>80</v>
      </c>
      <c r="F47" s="5" t="s">
        <v>150</v>
      </c>
      <c r="G47" s="5" t="s">
        <v>115</v>
      </c>
    </row>
    <row r="48" spans="5:7" x14ac:dyDescent="0.35">
      <c r="E48" s="5" t="s">
        <v>80</v>
      </c>
      <c r="F48" s="5" t="s">
        <v>151</v>
      </c>
      <c r="G48" s="5" t="s">
        <v>117</v>
      </c>
    </row>
    <row r="49" spans="5:7" x14ac:dyDescent="0.35">
      <c r="E49" s="5" t="s">
        <v>80</v>
      </c>
      <c r="F49" s="5" t="s">
        <v>152</v>
      </c>
      <c r="G49" s="5" t="s">
        <v>119</v>
      </c>
    </row>
    <row r="50" spans="5:7" x14ac:dyDescent="0.35">
      <c r="E50" s="5" t="s">
        <v>80</v>
      </c>
      <c r="F50" s="5" t="s">
        <v>153</v>
      </c>
      <c r="G50" s="5" t="s">
        <v>121</v>
      </c>
    </row>
    <row r="51" spans="5:7" x14ac:dyDescent="0.35">
      <c r="E51" s="5" t="s">
        <v>84</v>
      </c>
      <c r="F51" s="5" t="s">
        <v>154</v>
      </c>
      <c r="G51" s="5" t="s">
        <v>75</v>
      </c>
    </row>
    <row r="52" spans="5:7" x14ac:dyDescent="0.35">
      <c r="E52" s="5" t="s">
        <v>84</v>
      </c>
      <c r="F52" s="5" t="s">
        <v>155</v>
      </c>
      <c r="G52" s="5" t="s">
        <v>79</v>
      </c>
    </row>
    <row r="53" spans="5:7" x14ac:dyDescent="0.35">
      <c r="E53" s="5" t="s">
        <v>84</v>
      </c>
      <c r="F53" s="5" t="s">
        <v>156</v>
      </c>
      <c r="G53" s="5" t="s">
        <v>83</v>
      </c>
    </row>
    <row r="54" spans="5:7" x14ac:dyDescent="0.35">
      <c r="E54" s="5" t="s">
        <v>84</v>
      </c>
      <c r="F54" s="5" t="s">
        <v>157</v>
      </c>
      <c r="G54" s="5" t="s">
        <v>87</v>
      </c>
    </row>
    <row r="55" spans="5:7" x14ac:dyDescent="0.35">
      <c r="E55" s="5" t="s">
        <v>84</v>
      </c>
      <c r="F55" s="5" t="s">
        <v>158</v>
      </c>
      <c r="G55" s="5" t="s">
        <v>91</v>
      </c>
    </row>
    <row r="56" spans="5:7" x14ac:dyDescent="0.35">
      <c r="E56" s="5" t="s">
        <v>84</v>
      </c>
      <c r="F56" s="5" t="s">
        <v>159</v>
      </c>
      <c r="G56" s="5" t="s">
        <v>95</v>
      </c>
    </row>
    <row r="57" spans="5:7" x14ac:dyDescent="0.35">
      <c r="E57" s="5" t="s">
        <v>84</v>
      </c>
      <c r="F57" s="5" t="s">
        <v>160</v>
      </c>
      <c r="G57" s="5" t="s">
        <v>98</v>
      </c>
    </row>
    <row r="58" spans="5:7" x14ac:dyDescent="0.35">
      <c r="E58" s="5" t="s">
        <v>84</v>
      </c>
      <c r="F58" s="5" t="s">
        <v>161</v>
      </c>
      <c r="G58" s="5" t="s">
        <v>102</v>
      </c>
    </row>
    <row r="59" spans="5:7" x14ac:dyDescent="0.35">
      <c r="E59" s="5" t="s">
        <v>84</v>
      </c>
      <c r="F59" s="5" t="s">
        <v>162</v>
      </c>
      <c r="G59" s="5" t="s">
        <v>105</v>
      </c>
    </row>
    <row r="60" spans="5:7" x14ac:dyDescent="0.35">
      <c r="E60" s="5" t="s">
        <v>84</v>
      </c>
      <c r="F60" s="5" t="s">
        <v>163</v>
      </c>
      <c r="G60" s="5" t="s">
        <v>109</v>
      </c>
    </row>
    <row r="61" spans="5:7" x14ac:dyDescent="0.35">
      <c r="E61" s="5" t="s">
        <v>84</v>
      </c>
      <c r="F61" s="5" t="s">
        <v>164</v>
      </c>
      <c r="G61" s="5" t="s">
        <v>111</v>
      </c>
    </row>
    <row r="62" spans="5:7" x14ac:dyDescent="0.35">
      <c r="E62" s="5" t="s">
        <v>84</v>
      </c>
      <c r="F62" s="5" t="s">
        <v>165</v>
      </c>
      <c r="G62" s="5" t="s">
        <v>113</v>
      </c>
    </row>
    <row r="63" spans="5:7" x14ac:dyDescent="0.35">
      <c r="E63" s="5" t="s">
        <v>84</v>
      </c>
      <c r="F63" s="5" t="s">
        <v>166</v>
      </c>
      <c r="G63" s="5" t="s">
        <v>115</v>
      </c>
    </row>
    <row r="64" spans="5:7" x14ac:dyDescent="0.35">
      <c r="E64" s="5" t="s">
        <v>84</v>
      </c>
      <c r="F64" s="5" t="s">
        <v>167</v>
      </c>
      <c r="G64" s="5" t="s">
        <v>117</v>
      </c>
    </row>
    <row r="65" spans="5:7" x14ac:dyDescent="0.35">
      <c r="E65" s="5" t="s">
        <v>84</v>
      </c>
      <c r="F65" s="5" t="s">
        <v>168</v>
      </c>
      <c r="G65" s="5" t="s">
        <v>119</v>
      </c>
    </row>
    <row r="66" spans="5:7" x14ac:dyDescent="0.35">
      <c r="E66" s="5" t="s">
        <v>84</v>
      </c>
      <c r="F66" s="5" t="s">
        <v>169</v>
      </c>
      <c r="G66" s="5" t="s">
        <v>121</v>
      </c>
    </row>
    <row r="67" spans="5:7" x14ac:dyDescent="0.35">
      <c r="E67" s="5" t="s">
        <v>88</v>
      </c>
      <c r="F67" s="5" t="s">
        <v>170</v>
      </c>
      <c r="G67" s="5" t="s">
        <v>171</v>
      </c>
    </row>
    <row r="68" spans="5:7" x14ac:dyDescent="0.35">
      <c r="E68" s="5" t="s">
        <v>88</v>
      </c>
      <c r="F68" s="5" t="s">
        <v>172</v>
      </c>
      <c r="G68" s="5" t="s">
        <v>173</v>
      </c>
    </row>
    <row r="69" spans="5:7" x14ac:dyDescent="0.35">
      <c r="E69" s="5" t="s">
        <v>88</v>
      </c>
      <c r="F69" s="5" t="s">
        <v>174</v>
      </c>
      <c r="G69" s="5" t="s">
        <v>175</v>
      </c>
    </row>
    <row r="70" spans="5:7" x14ac:dyDescent="0.35">
      <c r="E70" s="5" t="s">
        <v>88</v>
      </c>
      <c r="F70" s="5" t="s">
        <v>176</v>
      </c>
      <c r="G70" s="5" t="s">
        <v>121</v>
      </c>
    </row>
    <row r="71" spans="5:7" x14ac:dyDescent="0.35">
      <c r="E71" s="5" t="s">
        <v>92</v>
      </c>
      <c r="F71" s="5" t="s">
        <v>177</v>
      </c>
      <c r="G71" s="5" t="s">
        <v>93</v>
      </c>
    </row>
    <row r="72" spans="5:7" x14ac:dyDescent="0.35">
      <c r="E72" s="5" t="s">
        <v>96</v>
      </c>
      <c r="F72" s="5" t="s">
        <v>178</v>
      </c>
      <c r="G72" s="5" t="s">
        <v>179</v>
      </c>
    </row>
    <row r="73" spans="5:7" x14ac:dyDescent="0.35">
      <c r="E73" s="5" t="s">
        <v>96</v>
      </c>
      <c r="F73" s="5" t="s">
        <v>180</v>
      </c>
      <c r="G73" s="5" t="s">
        <v>181</v>
      </c>
    </row>
    <row r="74" spans="5:7" x14ac:dyDescent="0.35">
      <c r="E74" s="5" t="s">
        <v>99</v>
      </c>
      <c r="F74" s="5" t="s">
        <v>182</v>
      </c>
      <c r="G74" s="5" t="s">
        <v>100</v>
      </c>
    </row>
    <row r="75" spans="5:7" x14ac:dyDescent="0.35">
      <c r="E75" s="5" t="s">
        <v>99</v>
      </c>
      <c r="F75" s="5" t="s">
        <v>183</v>
      </c>
      <c r="G75" s="5" t="s">
        <v>121</v>
      </c>
    </row>
    <row r="76" spans="5:7" x14ac:dyDescent="0.35">
      <c r="E76" s="5" t="s">
        <v>103</v>
      </c>
      <c r="F76" s="5" t="s">
        <v>184</v>
      </c>
      <c r="G76" s="5" t="s">
        <v>185</v>
      </c>
    </row>
    <row r="77" spans="5:7" x14ac:dyDescent="0.35">
      <c r="E77" s="5" t="s">
        <v>103</v>
      </c>
      <c r="F77" s="5" t="s">
        <v>186</v>
      </c>
      <c r="G77" s="5" t="s">
        <v>187</v>
      </c>
    </row>
    <row r="78" spans="5:7" x14ac:dyDescent="0.35">
      <c r="E78" s="5" t="s">
        <v>103</v>
      </c>
      <c r="F78" s="5" t="s">
        <v>188</v>
      </c>
      <c r="G78" s="5" t="s">
        <v>189</v>
      </c>
    </row>
    <row r="79" spans="5:7" x14ac:dyDescent="0.35">
      <c r="E79" s="5" t="s">
        <v>103</v>
      </c>
      <c r="F79" s="5" t="s">
        <v>190</v>
      </c>
      <c r="G79" s="5" t="s">
        <v>191</v>
      </c>
    </row>
    <row r="80" spans="5:7" x14ac:dyDescent="0.35">
      <c r="E80" s="5" t="s">
        <v>103</v>
      </c>
      <c r="F80" s="5" t="s">
        <v>192</v>
      </c>
      <c r="G80" s="5" t="s">
        <v>193</v>
      </c>
    </row>
    <row r="81" spans="5:7" x14ac:dyDescent="0.35">
      <c r="E81" s="5" t="s">
        <v>103</v>
      </c>
      <c r="F81" s="5" t="s">
        <v>194</v>
      </c>
      <c r="G81" s="5" t="s">
        <v>121</v>
      </c>
    </row>
    <row r="82" spans="5:7" x14ac:dyDescent="0.35">
      <c r="E82" s="5" t="s">
        <v>106</v>
      </c>
      <c r="F82" s="5" t="s">
        <v>195</v>
      </c>
      <c r="G82" s="5" t="s">
        <v>196</v>
      </c>
    </row>
    <row r="83" spans="5:7" x14ac:dyDescent="0.35">
      <c r="E83" s="5" t="s">
        <v>106</v>
      </c>
      <c r="F83" s="5" t="s">
        <v>197</v>
      </c>
      <c r="G83" s="5" t="s">
        <v>198</v>
      </c>
    </row>
    <row r="84" spans="5:7" x14ac:dyDescent="0.35">
      <c r="E84" s="5" t="s">
        <v>106</v>
      </c>
      <c r="F84" s="5" t="s">
        <v>199</v>
      </c>
      <c r="G84" s="5" t="s">
        <v>121</v>
      </c>
    </row>
  </sheetData>
  <mergeCells count="2">
    <mergeCell ref="B1:C1"/>
    <mergeCell ref="E1:G1"/>
  </mergeCells>
  <phoneticPr fontId="19" type="noConversion"/>
  <hyperlinks>
    <hyperlink ref="A1" location="员工!A1" display="返回目录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2"/>
  <sheetViews>
    <sheetView workbookViewId="0">
      <selection activeCell="I12" sqref="I12"/>
    </sheetView>
  </sheetViews>
  <sheetFormatPr defaultColWidth="9" defaultRowHeight="13.2" x14ac:dyDescent="0.25"/>
  <cols>
    <col min="1" max="16384" width="9" style="1"/>
  </cols>
  <sheetData>
    <row r="1" spans="1:9" x14ac:dyDescent="0.25">
      <c r="A1" s="1" t="s">
        <v>200</v>
      </c>
      <c r="C1" s="1" t="s">
        <v>201</v>
      </c>
      <c r="E1" s="1" t="s">
        <v>202</v>
      </c>
      <c r="G1" s="1" t="s">
        <v>203</v>
      </c>
      <c r="I1" s="1" t="s">
        <v>204</v>
      </c>
    </row>
    <row r="2" spans="1:9" x14ac:dyDescent="0.25">
      <c r="A2" s="1" t="s">
        <v>205</v>
      </c>
      <c r="C2" s="1" t="s">
        <v>206</v>
      </c>
      <c r="E2" s="1" t="s">
        <v>207</v>
      </c>
      <c r="G2" s="1" t="s">
        <v>208</v>
      </c>
      <c r="I2" s="1" t="s">
        <v>209</v>
      </c>
    </row>
    <row r="3" spans="1:9" x14ac:dyDescent="0.25">
      <c r="A3" s="1" t="s">
        <v>210</v>
      </c>
      <c r="C3" s="1" t="s">
        <v>211</v>
      </c>
      <c r="I3" s="1" t="s">
        <v>16</v>
      </c>
    </row>
    <row r="4" spans="1:9" x14ac:dyDescent="0.25">
      <c r="A4" s="1" t="s">
        <v>212</v>
      </c>
      <c r="I4" s="1" t="s">
        <v>213</v>
      </c>
    </row>
    <row r="5" spans="1:9" x14ac:dyDescent="0.25">
      <c r="I5" s="1" t="s">
        <v>214</v>
      </c>
    </row>
    <row r="6" spans="1:9" x14ac:dyDescent="0.25">
      <c r="I6" s="1" t="s">
        <v>215</v>
      </c>
    </row>
    <row r="7" spans="1:9" x14ac:dyDescent="0.25">
      <c r="I7" s="1" t="s">
        <v>216</v>
      </c>
    </row>
    <row r="8" spans="1:9" x14ac:dyDescent="0.25">
      <c r="I8" s="1" t="s">
        <v>217</v>
      </c>
    </row>
    <row r="9" spans="1:9" x14ac:dyDescent="0.25">
      <c r="I9" s="1" t="s">
        <v>218</v>
      </c>
    </row>
    <row r="10" spans="1:9" x14ac:dyDescent="0.25">
      <c r="I10" s="1" t="s">
        <v>219</v>
      </c>
    </row>
    <row r="11" spans="1:9" x14ac:dyDescent="0.25">
      <c r="I11" s="1" t="s">
        <v>220</v>
      </c>
    </row>
    <row r="12" spans="1:9" x14ac:dyDescent="0.25">
      <c r="I12" s="1" t="s">
        <v>221</v>
      </c>
    </row>
  </sheetData>
  <phoneticPr fontId="19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目录</vt:lpstr>
      <vt:lpstr>员工</vt:lpstr>
      <vt:lpstr>员工性别</vt:lpstr>
      <vt:lpstr>雇佣状态</vt:lpstr>
      <vt:lpstr>Sheet2</vt:lpstr>
      <vt:lpstr>员工组和员工子组</vt:lpstr>
      <vt:lpstr>Sheet1</vt:lpstr>
    </vt:vector>
  </TitlesOfParts>
  <Company>Deloitte Touche Tohmatsu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Xing He</dc:creator>
  <cp:lastModifiedBy>guominyan</cp:lastModifiedBy>
  <cp:lastPrinted>2018-07-31T05:56:00Z</cp:lastPrinted>
  <dcterms:created xsi:type="dcterms:W3CDTF">2008-07-23T09:26:00Z</dcterms:created>
  <dcterms:modified xsi:type="dcterms:W3CDTF">2024-12-19T07:51:07Z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2052-11.8.2.12309</vt:lpwstr>
  </property>
  <property fmtid="{D5CDD505-2E9C-101B-9397-08002B2CF9AE}" pid="3" name="WorkbookGuid">
    <vt:lpwstr>5ab81db6-3d77-41b8-bab3-806effd6b6e0</vt:lpwstr>
  </property>
  <property fmtid="{D5CDD505-2E9C-101B-9397-08002B2CF9AE}" pid="4" name="ICV">
    <vt:lpwstr>DA5A6A422AEB41D995AA31AF47577DC5_13</vt:lpwstr>
  </property>
</Properties>
</file>